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ocuments\Excel Finance\"/>
    </mc:Choice>
  </mc:AlternateContent>
  <xr:revisionPtr revIDLastSave="0" documentId="13_ncr:1_{A1F9CC40-AE2E-4585-92BC-802D08C168F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olatilite implicite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 a="1"/>
  <c r="C1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<sst xmlns="http://schemas.openxmlformats.org/spreadsheetml/2006/main" count="10" uniqueCount="10">
  <si>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OPTION EUROPEENNE - VOLATILITE IMPLICITE</t>
  </si>
  <si>
    <t>Type</t>
  </si>
  <si>
    <t>call</t>
  </si>
  <si>
    <t>Sous-jacent So</t>
  </si>
  <si>
    <t>Prix d'exercice K</t>
  </si>
  <si>
    <t>Maturité T</t>
  </si>
  <si>
    <t>Premium</t>
  </si>
  <si>
    <t>VOLATILITE IMPLICITE CALCULE</t>
  </si>
  <si>
    <t>NEWTON RAPHSON</t>
  </si>
  <si>
    <t>Rate free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</si>
</sst>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3" borderId="2" xfId="0" applyFont="1" applyFill="1" applyBorder="1"/>
    <xf numFmtId="0" fontId="2" fillId="4" borderId="2" xfId="0" applyFont="1" applyFill="1" applyBorder="1" applyAlignment="1">
      <alignment horizontal="right"/>
    </xf>
    <xf numFmtId="9" fontId="2" fillId="4" borderId="2" xfId="0" applyNumberFormat="1" applyFont="1" applyFill="1" applyBorder="1" applyAlignment="1">
      <alignment horizontal="right"/>
    </xf>
    <xf numFmtId="2" fontId="2" fillId="5" borderId="2" xfId="0" applyNumberFormat="1" applyFont="1" applyFill="1" applyBorder="1" applyAlignment="1">
      <alignment horizontal="right"/>
    </xf>
    <xf numFmtId="2" fontId="0" fillId="0" borderId="0" xfId="0" applyNumberFormat="1"/>
    <xf numFmtId="9" fontId="0" fillId="0" borderId="0" xfId="0" applyNumberFormat="1"/>
    <xf numFmtId="164" fontId="2" fillId="0" borderId="0" xfId="0" applyNumberFormat="1" applyFont="1"/>
    <xf numFmtId="0" fontId="3" fillId="7" borderId="2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9" fontId="3" fillId="7" borderId="2" xfId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2</xdr:row>
      <xdr:rowOff>0</xdr:rowOff>
    </xdr:from>
    <xdr:to>
      <xdr:col>15</xdr:col>
      <xdr:colOff>419940</xdr:colOff>
      <xdr:row>14</xdr:row>
      <xdr:rowOff>86144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8AFA6B-34C6-46B7-A223-427D8A2F2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77025" y="381000"/>
          <a:ext cx="6020640" cy="30007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D16"/>
  <sheetViews>
    <sheetView tabSelected="1" workbookViewId="0">
      <selection activeCell="B10" sqref="B10"/>
    </sheetView>
  </sheetViews>
  <sheetFormatPr defaultRowHeight="15" x14ac:dyDescent="0.25"/>
  <cols>
    <col min="2" max="2" width="24.85546875" customWidth="1"/>
    <col min="3" max="3" width="40.42578125" customWidth="1"/>
  </cols>
  <sheetData>
    <row r="3" spans="2:4" ht="23.25" customHeight="1" x14ac:dyDescent="0.25">
      <c r="B3" s="10" t="s">
        <v>0</v>
      </c>
      <c r="C3" s="10"/>
    </row>
    <row r="4" spans="2:4" ht="18.75" x14ac:dyDescent="0.3">
      <c r="B4" s="1"/>
      <c r="C4" s="1"/>
    </row>
    <row r="5" spans="2:4" ht="18.75" x14ac:dyDescent="0.3">
      <c r="B5" s="2" t="s">
        <v>1</v>
      </c>
      <c r="C5" s="3" t="s">
        <v>2</v>
      </c>
    </row>
    <row r="6" spans="2:4" ht="18.75" x14ac:dyDescent="0.3">
      <c r="B6" s="2" t="s">
        <v>3</v>
      </c>
      <c r="C6" s="3">
        <v>100</v>
      </c>
    </row>
    <row r="7" spans="2:4" ht="18.75" x14ac:dyDescent="0.3">
      <c r="B7" s="2" t="s">
        <v>4</v>
      </c>
      <c r="C7" s="3">
        <v>100</v>
      </c>
    </row>
    <row r="8" spans="2:4" ht="18.75" x14ac:dyDescent="0.3">
      <c r="B8" s="2" t="s">
        <v>5</v>
      </c>
      <c r="C8" s="3">
        <v>1</v>
      </c>
    </row>
    <row r="9" spans="2:4" ht="18.75" x14ac:dyDescent="0.3">
      <c r="B9" s="2" t="s">
        <v>9</v>
      </c>
      <c r="C9" s="4">
        <v>0.1</v>
      </c>
    </row>
    <row r="10" spans="2:4" ht="18.75" x14ac:dyDescent="0.3">
      <c r="B10" s="2" t="s">
        <v>6</v>
      </c>
      <c r="C10" s="5">
        <v>13</v>
      </c>
      <c r="D10" s="6"/>
    </row>
    <row r="11" spans="2:4" ht="18.75" x14ac:dyDescent="0.3">
      <c r="B11" s="1"/>
      <c r="C11" s="1"/>
      <c r="D11" s="7"/>
    </row>
    <row r="12" spans="2:4" ht="18.75" x14ac:dyDescent="0.3">
      <c r="B12" s="1"/>
      <c r="C12" s="8"/>
    </row>
    <row r="13" spans="2:4" ht="18.75" x14ac:dyDescent="0.3">
      <c r="B13" s="1"/>
      <c r="C13" s="8"/>
    </row>
    <row r="14" spans="2:4" ht="18.75" x14ac:dyDescent="0.3">
      <c r="B14" s="1"/>
      <c r="C14" s="1"/>
    </row>
    <row r="15" spans="2:4" ht="18.75" x14ac:dyDescent="0.3">
      <c r="B15" s="11" t="s">
        <v>7</v>
      </c>
      <c r="C15" s="12"/>
    </row>
    <row r="16" spans="2:4" ht="18.75" x14ac:dyDescent="0.3">
      <c r="B16" s="9" t="s">
        <v>8</v>
      </c>
      <c r="C16" s="13" cm="1">
        <f t="array" ref="C16">computeImpliedVolatility(C5,C6,C7,C8,C9,C10)</f>
        <v>0.19186572957839945</v>
      </c>
    </row>
  </sheetData>
  <mergeCells count="2">
    <mergeCell ref="B3:C3"/>
    <mergeCell ref="B15:C15"/>
  </mergeCells>
  <dataValidations count="1">
    <dataValidation type="list" allowBlank="1" showInputMessage="1" showErrorMessage="1" sqref="C5" xr:uid="{00000000-0002-0000-0000-000000000000}">
      <formula1>"call,put"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Volatilite implicite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2023-12-30T20:14:48Z</dcterms:created>
  <dcterms:modified xsi:type="dcterms:W3CDTF">2024-09-11T12:35:33Z</dcterms:modified>
</cp:coreProperties>
</file>